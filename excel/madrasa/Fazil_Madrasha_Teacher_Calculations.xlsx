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452efbc4d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dfd0e0528394eae"/>
    <x:sheet xmlns:r="http://schemas.openxmlformats.org/officeDocument/2006/relationships" name="CALCULATIONS" sheetId="2" r:id="R5fb332500de246ef"/>
    <x:sheet xmlns:r="http://schemas.openxmlformats.org/officeDocument/2006/relationships" name="SUMMARY" sheetId="3" r:id="R49b8ea548d8344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৳#,##0.00;[Red]-৳#,##0.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385723"/>
      <x:name val="Carlito"/>
    </x:font>
    <x:font>
      <x:i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B467F"/>
      </x:patternFill>
    </x:fill>
    <x:fill>
      <x:patternFill patternType="solid">
        <x:fgColor rgb="FF14818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0" xfId="0" applyNumberFormat="1" applyFont="1" applyFill="1" applyBorder="1"/>
    <x:xf numFmtId="201" fontId="2" fillId="2" borderId="0" xfId="0" applyNumberFormat="1" applyFont="1" applyFill="1" applyBorder="1"/>
    <x:xf numFmtId="201" fontId="0" fillId="0" borderId="1" xfId="0" applyNumberFormat="1" applyFont="1" applyFill="1" applyBorder="1"/>
    <x:xf numFmtId="201" fontId="2" fillId="2" borderId="1" xfId="0" applyNumberFormat="1" applyFont="1" applyFill="1" applyBorder="1"/>
    <x:xf numFmtId="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2" borderId="7" xfId="0" applyNumberFormat="1" applyFont="1" applyFill="1" applyBorder="1"/>
    <x:xf numFmtId="201" fontId="2" fillId="2" borderId="8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15" xfId="0" applyNumberFormat="1" applyFont="1" applyFill="1" applyBorder="1"/>
    <x:xf numFmtId="201" fontId="2" fillId="2" borderId="16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</x:cellXfs>
  <x:cellStyles count="1">
    <x:cellStyle name="Normal" xfId="0"/>
  </x:cellStyles>
  <x:dxfs count="3">
    <x:dxf>
      <x:font>
        <x:color rgb="FF991B1B"/>
      </x:font>
      <x:fill>
        <x:patternFill patternType="solid">
          <x:bgColor rgb="FFFECACA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6af0e23124c42" /><Relationship Type="http://schemas.openxmlformats.org/officeDocument/2006/relationships/theme" Target="/xl/theme/theme1.xml" Id="R6776226d2e7a4e34" /><Relationship Type="http://schemas.openxmlformats.org/officeDocument/2006/relationships/sharedStrings" Target="/xl/sharedStrings.xml" Id="Rc192b43e5c404d68" /><Relationship Type="http://schemas.openxmlformats.org/officeDocument/2006/relationships/worksheet" Target="/xl/worksheets/sheet1.xml" Id="Rbdfd0e0528394eae" /><Relationship Type="http://schemas.openxmlformats.org/officeDocument/2006/relationships/worksheet" Target="/xl/worksheets/sheet2.xml" Id="R5fb332500de246ef" /><Relationship Type="http://schemas.openxmlformats.org/officeDocument/2006/relationships/worksheet" Target="/xl/worksheets/sheet3.xml" Id="R49b8ea548d8344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4" hidden="0" customWidth="1"/>
  </x:cols>
  <x:sheetData>
    <x:row r="1" ht="28" customHeight="1">
      <x:c r="A1" s="5" t="str">
        <x:v>FAZIL MADRASHA TEACHER CALCULATION ASSUMPTIONS</x:v>
      </x:c>
      <x:c r="B1" s="5"/>
      <x:c r="C1" s="5"/>
      <x:c r="D1" s="5"/>
    </x:row>
    <x:row r="3">
      <x:c r="A3" s="13" t="str">
        <x:v>Input</x:v>
      </x:c>
      <x:c r="B3" s="13" t="str">
        <x:v>Synthetic Value</x:v>
      </x:c>
      <x:c r="C3" s="13" t="str">
        <x:v>Unit</x:v>
      </x:c>
      <x:c r="D3" s="13" t="str">
        <x:v>Editable</x:v>
      </x:c>
    </x:row>
    <x:row r="4">
      <x:c r="A4" t="str">
        <x:v>Basic Salary</x:v>
      </x:c>
      <x:c r="B4" s="20" t="n">
        <x:v>28500</x:v>
      </x:c>
      <x:c r="C4" t="str">
        <x:v>BDT</x:v>
      </x:c>
      <x:c r="D4" t="str">
        <x:v>Yes</x:v>
      </x:c>
    </x:row>
    <x:row r="5">
      <x:c r="A5" t="str">
        <x:v>Festival Allowance Rate</x:v>
      </x:c>
      <x:c r="B5" s="22" t="n">
        <x:v>0.5</x:v>
      </x:c>
      <x:c r="C5" t="str">
        <x:v>Rate</x:v>
      </x:c>
      <x:c r="D5" t="str">
        <x:v>Yes</x:v>
      </x:c>
    </x:row>
    <x:row r="6">
      <x:c r="A6" t="str">
        <x:v>Bangla New Year Allowance Rate</x:v>
      </x:c>
      <x:c r="B6" s="22" t="n">
        <x:v>0.2</x:v>
      </x:c>
      <x:c r="C6" t="str">
        <x:v>Rate</x:v>
      </x:c>
      <x:c r="D6" t="str">
        <x:v>Yes</x:v>
      </x:c>
    </x:row>
    <x:row r="7">
      <x:c r="A7" t="str">
        <x:v>House Rent Rate</x:v>
      </x:c>
      <x:c r="B7" s="22" t="n">
        <x:v>0.15</x:v>
      </x:c>
      <x:c r="C7" t="str">
        <x:v>Rate</x:v>
      </x:c>
      <x:c r="D7" t="str">
        <x:v>Yes</x:v>
      </x:c>
    </x:row>
    <x:row r="8">
      <x:c r="A8" t="str">
        <x:v>Minimum House Rent</x:v>
      </x:c>
      <x:c r="B8" s="20" t="n">
        <x:v>2000</x:v>
      </x:c>
      <x:c r="C8" t="str">
        <x:v>BDT</x:v>
      </x:c>
      <x:c r="D8" t="str">
        <x:v>Yes</x:v>
      </x:c>
    </x:row>
    <x:row r="9">
      <x:c r="A9" t="str">
        <x:v>Medical Allowance</x:v>
      </x:c>
      <x:c r="B9" s="20" t="n">
        <x:v>500</x:v>
      </x:c>
      <x:c r="C9" t="str">
        <x:v>BDT</x:v>
      </x:c>
      <x:c r="D9" t="str">
        <x:v>Yes</x:v>
      </x:c>
    </x:row>
    <x:row r="10">
      <x:c r="A10" t="str">
        <x:v>Special Benefit Rate</x:v>
      </x:c>
      <x:c r="B10" s="22" t="n">
        <x:v>0.15</x:v>
      </x:c>
      <x:c r="C10" t="str">
        <x:v>Rate</x:v>
      </x:c>
      <x:c r="D10" t="str">
        <x:v>Yes</x:v>
      </x:c>
    </x:row>
    <x:row r="11">
      <x:c r="A11" t="str">
        <x:v>Minimum Special Benefit</x:v>
      </x:c>
      <x:c r="B11" s="20" t="n">
        <x:v>1500</x:v>
      </x:c>
      <x:c r="C11" t="str">
        <x:v>BDT</x:v>
      </x:c>
      <x:c r="D11" t="str">
        <x:v>Yes</x:v>
      </x:c>
    </x:row>
    <x:row r="12">
      <x:c r="A12" t="str">
        <x:v>Welfare Trust Rate</x:v>
      </x:c>
      <x:c r="B12" s="22" t="n">
        <x:v>0.04</x:v>
      </x:c>
      <x:c r="C12" t="str">
        <x:v>Rate</x:v>
      </x:c>
      <x:c r="D12" t="str">
        <x:v>Yes</x:v>
      </x:c>
    </x:row>
    <x:row r="13">
      <x:c r="A13" t="str">
        <x:v>Retirement Benefit Rate</x:v>
      </x:c>
      <x:c r="B13" s="22" t="n">
        <x:v>0.06</x:v>
      </x:c>
      <x:c r="C13" t="str">
        <x:v>Rate</x:v>
      </x:c>
      <x:c r="D13" t="str">
        <x:v>Yes</x:v>
      </x:c>
    </x:row>
    <x:row r="14">
      <x:c r="A14" t="str">
        <x:v>Festival Allowance Count</x:v>
      </x:c>
      <x:c r="B14" s="20" t="n">
        <x:v>2</x:v>
      </x:c>
      <x:c r="C14" t="str">
        <x:v>Count</x:v>
      </x:c>
      <x:c r="D14" t="str">
        <x:v>Yes</x:v>
      </x:c>
    </x:row>
    <x:row r="15">
      <x:c r="A15" t="str">
        <x:v>Bangla New Year Allowance Count</x:v>
      </x:c>
      <x:c r="B15" s="20" t="n">
        <x:v>1</x:v>
      </x:c>
      <x:c r="C15" t="str">
        <x:v>Count</x:v>
      </x:c>
      <x:c r="D15" t="str">
        <x:v>Yes</x:v>
      </x:c>
    </x:row>
    <x:row r="17" ht="36" customHeight="1">
      <x:c r="A17" s="27" t="str">
        <x:v>All entries are synthetic demonstration inputs. No identifying, time-specific, or source-record information is included.</x:v>
      </x:c>
      <x:c r="B17" s="27"/>
      <x:c r="C17" s="27"/>
      <x:c r="D17" s="27"/>
    </x:row>
  </x:sheetData>
  <x:mergeCells>
    <x:mergeCell ref="A1:D1"/>
    <x:mergeCell ref="A17:D17"/>
  </x:mergeCells>
  <x:conditionalFormatting sqref="B4:B15">
    <x:cfRule type="expression" dxfId="0" priority="1">
      <x:formula>B4&lt;0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2" hidden="0" customWidth="1"/>
    <x:col min="14" max="14" width="24" hidden="0" customWidth="1"/>
  </x:cols>
  <x:sheetData>
    <x:row r="1" ht="30" customHeight="1">
      <x:c r="A1" s="5" t="str">
        <x:v>FAZIL MADRASHA TEACHER CALCULATIONS — SYNTHETIC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35" t="str">
        <x:v>Reusable formula model with synthetic inputs only. Replace yellow assumptions as needed.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4" ht="44" customHeight="1">
      <x:c r="A4" s="42" t="str">
        <x:v>Period</x:v>
      </x:c>
      <x:c r="B4" s="42" t="str">
        <x:v>Basic Salary</x:v>
      </x:c>
      <x:c r="C4" s="42" t="str">
        <x:v>Festival Allowance</x:v>
      </x:c>
      <x:c r="D4" s="42" t="str">
        <x:v>Bangla New Year Allowance</x:v>
      </x:c>
      <x:c r="E4" s="42" t="str">
        <x:v>House Rent</x:v>
      </x:c>
      <x:c r="F4" s="42" t="str">
        <x:v>Medical Allowance</x:v>
      </x:c>
      <x:c r="G4" s="42" t="str">
        <x:v>Gross Grant</x:v>
      </x:c>
      <x:c r="H4" s="42" t="str">
        <x:v>Special Benefit</x:v>
      </x:c>
      <x:c r="I4" s="42" t="str">
        <x:v>Welfare Trust</x:v>
      </x:c>
      <x:c r="J4" s="42" t="str">
        <x:v>Retirement Benefit</x:v>
      </x:c>
      <x:c r="K4" s="42" t="str">
        <x:v>Total Deduction</x:v>
      </x:c>
      <x:c r="L4" s="42" t="str">
        <x:v>Net Received</x:v>
      </x:c>
      <x:c r="M4" s="42" t="str">
        <x:v>Check</x:v>
      </x:c>
      <x:c r="N4" s="42" t="str">
        <x:v>Notes</x:v>
      </x:c>
    </x:row>
    <x:row r="5">
      <x:c r="A5" s="52" t="str">
        <x:v>Period 01</x:v>
      </x:c>
      <x:c r="B5" s="53" t="n">
        <x:f>ASSUMPTIONS!$B$4</x:f>
        <x:v>28500</x:v>
      </x:c>
      <x:c r="C5" s="53" t="n">
        <x:f>IF(OR(A5="Period 04",A5="Period 10"),B5*ASSUMPTIONS!$B$5,0)</x:f>
        <x:v>0</x:v>
      </x:c>
      <x:c r="D5" s="53" t="n">
        <x:f>IF(A5="Period 08",B5*ASSUMPTIONS!$B$6,0)</x:f>
        <x:v>0</x:v>
      </x:c>
      <x:c r="E5" s="53" t="n">
        <x:f>MAX(B5*ASSUMPTIONS!$B$7,ASSUMPTIONS!$B$8)</x:f>
        <x:v>4275</x:v>
      </x:c>
      <x:c r="F5" s="53" t="n">
        <x:f>ASSUMPTIONS!$B$9</x:f>
        <x:v>500</x:v>
      </x:c>
      <x:c r="G5" s="53" t="n">
        <x:f>SUM(B5:F5)</x:f>
        <x:v>33275</x:v>
      </x:c>
      <x:c r="H5" s="53" t="n">
        <x:f>MAX(B5*ASSUMPTIONS!$B$10,ASSUMPTIONS!$B$11)</x:f>
        <x:v>4275</x:v>
      </x:c>
      <x:c r="I5" s="53" t="n">
        <x:f>B5*ASSUMPTIONS!$B$12</x:f>
        <x:v>1140</x:v>
      </x:c>
      <x:c r="J5" s="53" t="n">
        <x:f>B5*ASSUMPTIONS!$B$13</x:f>
        <x:v>1710</x:v>
      </x:c>
      <x:c r="K5" s="53" t="n">
        <x:f>SUM(I5:J5)</x:f>
        <x:v>2850</x:v>
      </x:c>
      <x:c r="L5" s="53" t="n">
        <x:f>G5+H5-K5</x:f>
        <x:v>34700</x:v>
      </x:c>
      <x:c r="M5" s="54" t="str">
        <x:f>IF(ABS(L5-(G5+H5-K5))&lt;0.01,"OK","REVIEW")</x:f>
        <x:v>OK</x:v>
      </x:c>
      <x:c r="N5" s="55" t="str">
        <x:v>Synthetic row</x:v>
      </x:c>
    </x:row>
    <x:row r="6">
      <x:c r="A6" s="56" t="str">
        <x:v>Period 02</x:v>
      </x:c>
      <x:c r="B6" s="48" t="n">
        <x:f>ASSUMPTIONS!$B$4</x:f>
        <x:v>28500</x:v>
      </x:c>
      <x:c r="C6" s="48" t="n">
        <x:f>IF(OR(A6="Period 04",A6="Period 10"),B6*ASSUMPTIONS!$B$5,0)</x:f>
        <x:v>0</x:v>
      </x:c>
      <x:c r="D6" s="48" t="n">
        <x:f>IF(A6="Period 08",B6*ASSUMPTIONS!$B$6,0)</x:f>
        <x:v>0</x:v>
      </x:c>
      <x:c r="E6" s="48" t="n">
        <x:f>MAX(B6*ASSUMPTIONS!$B$7,ASSUMPTIONS!$B$8)</x:f>
        <x:v>4275</x:v>
      </x:c>
      <x:c r="F6" s="48" t="n">
        <x:f>ASSUMPTIONS!$B$9</x:f>
        <x:v>500</x:v>
      </x:c>
      <x:c r="G6" s="48" t="n">
        <x:f>SUM(B6:F6)</x:f>
        <x:v>33275</x:v>
      </x:c>
      <x:c r="H6" s="48" t="n">
        <x:f>MAX(B6*ASSUMPTIONS!$B$10,ASSUMPTIONS!$B$11)</x:f>
        <x:v>4275</x:v>
      </x:c>
      <x:c r="I6" s="48" t="n">
        <x:f>B6*ASSUMPTIONS!$B$12</x:f>
        <x:v>1140</x:v>
      </x:c>
      <x:c r="J6" s="48" t="n">
        <x:f>B6*ASSUMPTIONS!$B$13</x:f>
        <x:v>1710</x:v>
      </x:c>
      <x:c r="K6" s="48" t="n">
        <x:f>SUM(I6:J6)</x:f>
        <x:v>2850</x:v>
      </x:c>
      <x:c r="L6" s="48" t="n">
        <x:f>G6+H6-K6</x:f>
        <x:v>34700</x:v>
      </x:c>
      <x:c r="M6" s="57" t="str">
        <x:f>IF(ABS(L6-(G6+H6-K6))&lt;0.01,"OK","REVIEW")</x:f>
        <x:v>OK</x:v>
      </x:c>
      <x:c r="N6" s="58" t="str">
        <x:v>Synthetic row</x:v>
      </x:c>
    </x:row>
    <x:row r="7">
      <x:c r="A7" s="56" t="str">
        <x:v>Period 03</x:v>
      </x:c>
      <x:c r="B7" s="48" t="n">
        <x:f>ASSUMPTIONS!$B$4</x:f>
        <x:v>28500</x:v>
      </x:c>
      <x:c r="C7" s="48" t="n">
        <x:f>IF(OR(A7="Period 04",A7="Period 10"),B7*ASSUMPTIONS!$B$5,0)</x:f>
        <x:v>0</x:v>
      </x:c>
      <x:c r="D7" s="48" t="n">
        <x:f>IF(A7="Period 08",B7*ASSUMPTIONS!$B$6,0)</x:f>
        <x:v>0</x:v>
      </x:c>
      <x:c r="E7" s="48" t="n">
        <x:f>MAX(B7*ASSUMPTIONS!$B$7,ASSUMPTIONS!$B$8)</x:f>
        <x:v>4275</x:v>
      </x:c>
      <x:c r="F7" s="48" t="n">
        <x:f>ASSUMPTIONS!$B$9</x:f>
        <x:v>500</x:v>
      </x:c>
      <x:c r="G7" s="48" t="n">
        <x:f>SUM(B7:F7)</x:f>
        <x:v>33275</x:v>
      </x:c>
      <x:c r="H7" s="48" t="n">
        <x:f>MAX(B7*ASSUMPTIONS!$B$10,ASSUMPTIONS!$B$11)</x:f>
        <x:v>4275</x:v>
      </x:c>
      <x:c r="I7" s="48" t="n">
        <x:f>B7*ASSUMPTIONS!$B$12</x:f>
        <x:v>1140</x:v>
      </x:c>
      <x:c r="J7" s="48" t="n">
        <x:f>B7*ASSUMPTIONS!$B$13</x:f>
        <x:v>1710</x:v>
      </x:c>
      <x:c r="K7" s="48" t="n">
        <x:f>SUM(I7:J7)</x:f>
        <x:v>2850</x:v>
      </x:c>
      <x:c r="L7" s="48" t="n">
        <x:f>G7+H7-K7</x:f>
        <x:v>34700</x:v>
      </x:c>
      <x:c r="M7" s="57" t="str">
        <x:f>IF(ABS(L7-(G7+H7-K7))&lt;0.01,"OK","REVIEW")</x:f>
        <x:v>OK</x:v>
      </x:c>
      <x:c r="N7" s="58" t="str">
        <x:v>Synthetic row</x:v>
      </x:c>
    </x:row>
    <x:row r="8">
      <x:c r="A8" s="56" t="str">
        <x:v>Period 04</x:v>
      </x:c>
      <x:c r="B8" s="48" t="n">
        <x:f>ASSUMPTIONS!$B$4</x:f>
        <x:v>28500</x:v>
      </x:c>
      <x:c r="C8" s="48" t="n">
        <x:f>IF(OR(A8="Period 04",A8="Period 10"),B8*ASSUMPTIONS!$B$5,0)</x:f>
        <x:v>14250</x:v>
      </x:c>
      <x:c r="D8" s="48" t="n">
        <x:f>IF(A8="Period 08",B8*ASSUMPTIONS!$B$6,0)</x:f>
        <x:v>0</x:v>
      </x:c>
      <x:c r="E8" s="48" t="n">
        <x:f>MAX(B8*ASSUMPTIONS!$B$7,ASSUMPTIONS!$B$8)</x:f>
        <x:v>4275</x:v>
      </x:c>
      <x:c r="F8" s="48" t="n">
        <x:f>ASSUMPTIONS!$B$9</x:f>
        <x:v>500</x:v>
      </x:c>
      <x:c r="G8" s="48" t="n">
        <x:f>SUM(B8:F8)</x:f>
        <x:v>47525</x:v>
      </x:c>
      <x:c r="H8" s="48" t="n">
        <x:f>MAX(B8*ASSUMPTIONS!$B$10,ASSUMPTIONS!$B$11)</x:f>
        <x:v>4275</x:v>
      </x:c>
      <x:c r="I8" s="48" t="n">
        <x:f>B8*ASSUMPTIONS!$B$12</x:f>
        <x:v>1140</x:v>
      </x:c>
      <x:c r="J8" s="48" t="n">
        <x:f>B8*ASSUMPTIONS!$B$13</x:f>
        <x:v>1710</x:v>
      </x:c>
      <x:c r="K8" s="48" t="n">
        <x:f>SUM(I8:J8)</x:f>
        <x:v>2850</x:v>
      </x:c>
      <x:c r="L8" s="48" t="n">
        <x:f>G8+H8-K8</x:f>
        <x:v>48950</x:v>
      </x:c>
      <x:c r="M8" s="57" t="str">
        <x:f>IF(ABS(L8-(G8+H8-K8))&lt;0.01,"OK","REVIEW")</x:f>
        <x:v>OK</x:v>
      </x:c>
      <x:c r="N8" s="58" t="str">
        <x:v>Synthetic row</x:v>
      </x:c>
    </x:row>
    <x:row r="9">
      <x:c r="A9" s="56" t="str">
        <x:v>Period 05</x:v>
      </x:c>
      <x:c r="B9" s="48" t="n">
        <x:f>ASSUMPTIONS!$B$4</x:f>
        <x:v>28500</x:v>
      </x:c>
      <x:c r="C9" s="48" t="n">
        <x:f>IF(OR(A9="Period 04",A9="Period 10"),B9*ASSUMPTIONS!$B$5,0)</x:f>
        <x:v>0</x:v>
      </x:c>
      <x:c r="D9" s="48" t="n">
        <x:f>IF(A9="Period 08",B9*ASSUMPTIONS!$B$6,0)</x:f>
        <x:v>0</x:v>
      </x:c>
      <x:c r="E9" s="48" t="n">
        <x:f>MAX(B9*ASSUMPTIONS!$B$7,ASSUMPTIONS!$B$8)</x:f>
        <x:v>4275</x:v>
      </x:c>
      <x:c r="F9" s="48" t="n">
        <x:f>ASSUMPTIONS!$B$9</x:f>
        <x:v>500</x:v>
      </x:c>
      <x:c r="G9" s="48" t="n">
        <x:f>SUM(B9:F9)</x:f>
        <x:v>33275</x:v>
      </x:c>
      <x:c r="H9" s="48" t="n">
        <x:f>MAX(B9*ASSUMPTIONS!$B$10,ASSUMPTIONS!$B$11)</x:f>
        <x:v>4275</x:v>
      </x:c>
      <x:c r="I9" s="48" t="n">
        <x:f>B9*ASSUMPTIONS!$B$12</x:f>
        <x:v>1140</x:v>
      </x:c>
      <x:c r="J9" s="48" t="n">
        <x:f>B9*ASSUMPTIONS!$B$13</x:f>
        <x:v>1710</x:v>
      </x:c>
      <x:c r="K9" s="48" t="n">
        <x:f>SUM(I9:J9)</x:f>
        <x:v>2850</x:v>
      </x:c>
      <x:c r="L9" s="48" t="n">
        <x:f>G9+H9-K9</x:f>
        <x:v>34700</x:v>
      </x:c>
      <x:c r="M9" s="57" t="str">
        <x:f>IF(ABS(L9-(G9+H9-K9))&lt;0.01,"OK","REVIEW")</x:f>
        <x:v>OK</x:v>
      </x:c>
      <x:c r="N9" s="58" t="str">
        <x:v>Synthetic row</x:v>
      </x:c>
    </x:row>
    <x:row r="10">
      <x:c r="A10" s="56" t="str">
        <x:v>Period 06</x:v>
      </x:c>
      <x:c r="B10" s="48" t="n">
        <x:f>ASSUMPTIONS!$B$4</x:f>
        <x:v>28500</x:v>
      </x:c>
      <x:c r="C10" s="48" t="n">
        <x:f>IF(OR(A10="Period 04",A10="Period 10"),B10*ASSUMPTIONS!$B$5,0)</x:f>
        <x:v>0</x:v>
      </x:c>
      <x:c r="D10" s="48" t="n">
        <x:f>IF(A10="Period 08",B10*ASSUMPTIONS!$B$6,0)</x:f>
        <x:v>0</x:v>
      </x:c>
      <x:c r="E10" s="48" t="n">
        <x:f>MAX(B10*ASSUMPTIONS!$B$7,ASSUMPTIONS!$B$8)</x:f>
        <x:v>4275</x:v>
      </x:c>
      <x:c r="F10" s="48" t="n">
        <x:f>ASSUMPTIONS!$B$9</x:f>
        <x:v>500</x:v>
      </x:c>
      <x:c r="G10" s="48" t="n">
        <x:f>SUM(B10:F10)</x:f>
        <x:v>33275</x:v>
      </x:c>
      <x:c r="H10" s="48" t="n">
        <x:f>MAX(B10*ASSUMPTIONS!$B$10,ASSUMPTIONS!$B$11)</x:f>
        <x:v>4275</x:v>
      </x:c>
      <x:c r="I10" s="48" t="n">
        <x:f>B10*ASSUMPTIONS!$B$12</x:f>
        <x:v>1140</x:v>
      </x:c>
      <x:c r="J10" s="48" t="n">
        <x:f>B10*ASSUMPTIONS!$B$13</x:f>
        <x:v>1710</x:v>
      </x:c>
      <x:c r="K10" s="48" t="n">
        <x:f>SUM(I10:J10)</x:f>
        <x:v>2850</x:v>
      </x:c>
      <x:c r="L10" s="48" t="n">
        <x:f>G10+H10-K10</x:f>
        <x:v>34700</x:v>
      </x:c>
      <x:c r="M10" s="57" t="str">
        <x:f>IF(ABS(L10-(G10+H10-K10))&lt;0.01,"OK","REVIEW")</x:f>
        <x:v>OK</x:v>
      </x:c>
      <x:c r="N10" s="58" t="str">
        <x:v>Synthetic row</x:v>
      </x:c>
    </x:row>
    <x:row r="11">
      <x:c r="A11" s="56" t="str">
        <x:v>Period 07</x:v>
      </x:c>
      <x:c r="B11" s="48" t="n">
        <x:f>ASSUMPTIONS!$B$4</x:f>
        <x:v>28500</x:v>
      </x:c>
      <x:c r="C11" s="48" t="n">
        <x:f>IF(OR(A11="Period 04",A11="Period 10"),B11*ASSUMPTIONS!$B$5,0)</x:f>
        <x:v>0</x:v>
      </x:c>
      <x:c r="D11" s="48" t="n">
        <x:f>IF(A11="Period 08",B11*ASSUMPTIONS!$B$6,0)</x:f>
        <x:v>0</x:v>
      </x:c>
      <x:c r="E11" s="48" t="n">
        <x:f>MAX(B11*ASSUMPTIONS!$B$7,ASSUMPTIONS!$B$8)</x:f>
        <x:v>4275</x:v>
      </x:c>
      <x:c r="F11" s="48" t="n">
        <x:f>ASSUMPTIONS!$B$9</x:f>
        <x:v>500</x:v>
      </x:c>
      <x:c r="G11" s="48" t="n">
        <x:f>SUM(B11:F11)</x:f>
        <x:v>33275</x:v>
      </x:c>
      <x:c r="H11" s="48" t="n">
        <x:f>MAX(B11*ASSUMPTIONS!$B$10,ASSUMPTIONS!$B$11)</x:f>
        <x:v>4275</x:v>
      </x:c>
      <x:c r="I11" s="48" t="n">
        <x:f>B11*ASSUMPTIONS!$B$12</x:f>
        <x:v>1140</x:v>
      </x:c>
      <x:c r="J11" s="48" t="n">
        <x:f>B11*ASSUMPTIONS!$B$13</x:f>
        <x:v>1710</x:v>
      </x:c>
      <x:c r="K11" s="48" t="n">
        <x:f>SUM(I11:J11)</x:f>
        <x:v>2850</x:v>
      </x:c>
      <x:c r="L11" s="48" t="n">
        <x:f>G11+H11-K11</x:f>
        <x:v>34700</x:v>
      </x:c>
      <x:c r="M11" s="57" t="str">
        <x:f>IF(ABS(L11-(G11+H11-K11))&lt;0.01,"OK","REVIEW")</x:f>
        <x:v>OK</x:v>
      </x:c>
      <x:c r="N11" s="58" t="str">
        <x:v>Synthetic row</x:v>
      </x:c>
    </x:row>
    <x:row r="12">
      <x:c r="A12" s="56" t="str">
        <x:v>Period 08</x:v>
      </x:c>
      <x:c r="B12" s="48" t="n">
        <x:f>ASSUMPTIONS!$B$4</x:f>
        <x:v>28500</x:v>
      </x:c>
      <x:c r="C12" s="48" t="n">
        <x:f>IF(OR(A12="Period 04",A12="Period 10"),B12*ASSUMPTIONS!$B$5,0)</x:f>
        <x:v>0</x:v>
      </x:c>
      <x:c r="D12" s="48" t="n">
        <x:f>IF(A12="Period 08",B12*ASSUMPTIONS!$B$6,0)</x:f>
        <x:v>5700</x:v>
      </x:c>
      <x:c r="E12" s="48" t="n">
        <x:f>MAX(B12*ASSUMPTIONS!$B$7,ASSUMPTIONS!$B$8)</x:f>
        <x:v>4275</x:v>
      </x:c>
      <x:c r="F12" s="48" t="n">
        <x:f>ASSUMPTIONS!$B$9</x:f>
        <x:v>500</x:v>
      </x:c>
      <x:c r="G12" s="48" t="n">
        <x:f>SUM(B12:F12)</x:f>
        <x:v>38975</x:v>
      </x:c>
      <x:c r="H12" s="48" t="n">
        <x:f>MAX(B12*ASSUMPTIONS!$B$10,ASSUMPTIONS!$B$11)</x:f>
        <x:v>4275</x:v>
      </x:c>
      <x:c r="I12" s="48" t="n">
        <x:f>B12*ASSUMPTIONS!$B$12</x:f>
        <x:v>1140</x:v>
      </x:c>
      <x:c r="J12" s="48" t="n">
        <x:f>B12*ASSUMPTIONS!$B$13</x:f>
        <x:v>1710</x:v>
      </x:c>
      <x:c r="K12" s="48" t="n">
        <x:f>SUM(I12:J12)</x:f>
        <x:v>2850</x:v>
      </x:c>
      <x:c r="L12" s="48" t="n">
        <x:f>G12+H12-K12</x:f>
        <x:v>40400</x:v>
      </x:c>
      <x:c r="M12" s="57" t="str">
        <x:f>IF(ABS(L12-(G12+H12-K12))&lt;0.01,"OK","REVIEW")</x:f>
        <x:v>OK</x:v>
      </x:c>
      <x:c r="N12" s="58" t="str">
        <x:v>Synthetic row</x:v>
      </x:c>
    </x:row>
    <x:row r="13">
      <x:c r="A13" s="56" t="str">
        <x:v>Period 09</x:v>
      </x:c>
      <x:c r="B13" s="48" t="n">
        <x:f>ASSUMPTIONS!$B$4</x:f>
        <x:v>28500</x:v>
      </x:c>
      <x:c r="C13" s="48" t="n">
        <x:f>IF(OR(A13="Period 04",A13="Period 10"),B13*ASSUMPTIONS!$B$5,0)</x:f>
        <x:v>0</x:v>
      </x:c>
      <x:c r="D13" s="48" t="n">
        <x:f>IF(A13="Period 08",B13*ASSUMPTIONS!$B$6,0)</x:f>
        <x:v>0</x:v>
      </x:c>
      <x:c r="E13" s="48" t="n">
        <x:f>MAX(B13*ASSUMPTIONS!$B$7,ASSUMPTIONS!$B$8)</x:f>
        <x:v>4275</x:v>
      </x:c>
      <x:c r="F13" s="48" t="n">
        <x:f>ASSUMPTIONS!$B$9</x:f>
        <x:v>500</x:v>
      </x:c>
      <x:c r="G13" s="48" t="n">
        <x:f>SUM(B13:F13)</x:f>
        <x:v>33275</x:v>
      </x:c>
      <x:c r="H13" s="48" t="n">
        <x:f>MAX(B13*ASSUMPTIONS!$B$10,ASSUMPTIONS!$B$11)</x:f>
        <x:v>4275</x:v>
      </x:c>
      <x:c r="I13" s="48" t="n">
        <x:f>B13*ASSUMPTIONS!$B$12</x:f>
        <x:v>1140</x:v>
      </x:c>
      <x:c r="J13" s="48" t="n">
        <x:f>B13*ASSUMPTIONS!$B$13</x:f>
        <x:v>1710</x:v>
      </x:c>
      <x:c r="K13" s="48" t="n">
        <x:f>SUM(I13:J13)</x:f>
        <x:v>2850</x:v>
      </x:c>
      <x:c r="L13" s="48" t="n">
        <x:f>G13+H13-K13</x:f>
        <x:v>34700</x:v>
      </x:c>
      <x:c r="M13" s="57" t="str">
        <x:f>IF(ABS(L13-(G13+H13-K13))&lt;0.01,"OK","REVIEW")</x:f>
        <x:v>OK</x:v>
      </x:c>
      <x:c r="N13" s="58" t="str">
        <x:v>Synthetic row</x:v>
      </x:c>
    </x:row>
    <x:row r="14">
      <x:c r="A14" s="56" t="str">
        <x:v>Period 10</x:v>
      </x:c>
      <x:c r="B14" s="48" t="n">
        <x:f>ASSUMPTIONS!$B$4</x:f>
        <x:v>28500</x:v>
      </x:c>
      <x:c r="C14" s="48" t="n">
        <x:f>IF(OR(A14="Period 04",A14="Period 10"),B14*ASSUMPTIONS!$B$5,0)</x:f>
        <x:v>14250</x:v>
      </x:c>
      <x:c r="D14" s="48" t="n">
        <x:f>IF(A14="Period 08",B14*ASSUMPTIONS!$B$6,0)</x:f>
        <x:v>0</x:v>
      </x:c>
      <x:c r="E14" s="48" t="n">
        <x:f>MAX(B14*ASSUMPTIONS!$B$7,ASSUMPTIONS!$B$8)</x:f>
        <x:v>4275</x:v>
      </x:c>
      <x:c r="F14" s="48" t="n">
        <x:f>ASSUMPTIONS!$B$9</x:f>
        <x:v>500</x:v>
      </x:c>
      <x:c r="G14" s="48" t="n">
        <x:f>SUM(B14:F14)</x:f>
        <x:v>47525</x:v>
      </x:c>
      <x:c r="H14" s="48" t="n">
        <x:f>MAX(B14*ASSUMPTIONS!$B$10,ASSUMPTIONS!$B$11)</x:f>
        <x:v>4275</x:v>
      </x:c>
      <x:c r="I14" s="48" t="n">
        <x:f>B14*ASSUMPTIONS!$B$12</x:f>
        <x:v>1140</x:v>
      </x:c>
      <x:c r="J14" s="48" t="n">
        <x:f>B14*ASSUMPTIONS!$B$13</x:f>
        <x:v>1710</x:v>
      </x:c>
      <x:c r="K14" s="48" t="n">
        <x:f>SUM(I14:J14)</x:f>
        <x:v>2850</x:v>
      </x:c>
      <x:c r="L14" s="48" t="n">
        <x:f>G14+H14-K14</x:f>
        <x:v>48950</x:v>
      </x:c>
      <x:c r="M14" s="57" t="str">
        <x:f>IF(ABS(L14-(G14+H14-K14))&lt;0.01,"OK","REVIEW")</x:f>
        <x:v>OK</x:v>
      </x:c>
      <x:c r="N14" s="58" t="str">
        <x:v>Synthetic row</x:v>
      </x:c>
    </x:row>
    <x:row r="15">
      <x:c r="A15" s="56" t="str">
        <x:v>Period 11</x:v>
      </x:c>
      <x:c r="B15" s="48" t="n">
        <x:f>ASSUMPTIONS!$B$4</x:f>
        <x:v>28500</x:v>
      </x:c>
      <x:c r="C15" s="48" t="n">
        <x:f>IF(OR(A15="Period 04",A15="Period 10"),B15*ASSUMPTIONS!$B$5,0)</x:f>
        <x:v>0</x:v>
      </x:c>
      <x:c r="D15" s="48" t="n">
        <x:f>IF(A15="Period 08",B15*ASSUMPTIONS!$B$6,0)</x:f>
        <x:v>0</x:v>
      </x:c>
      <x:c r="E15" s="48" t="n">
        <x:f>MAX(B15*ASSUMPTIONS!$B$7,ASSUMPTIONS!$B$8)</x:f>
        <x:v>4275</x:v>
      </x:c>
      <x:c r="F15" s="48" t="n">
        <x:f>ASSUMPTIONS!$B$9</x:f>
        <x:v>500</x:v>
      </x:c>
      <x:c r="G15" s="48" t="n">
        <x:f>SUM(B15:F15)</x:f>
        <x:v>33275</x:v>
      </x:c>
      <x:c r="H15" s="48" t="n">
        <x:f>MAX(B15*ASSUMPTIONS!$B$10,ASSUMPTIONS!$B$11)</x:f>
        <x:v>4275</x:v>
      </x:c>
      <x:c r="I15" s="48" t="n">
        <x:f>B15*ASSUMPTIONS!$B$12</x:f>
        <x:v>1140</x:v>
      </x:c>
      <x:c r="J15" s="48" t="n">
        <x:f>B15*ASSUMPTIONS!$B$13</x:f>
        <x:v>1710</x:v>
      </x:c>
      <x:c r="K15" s="48" t="n">
        <x:f>SUM(I15:J15)</x:f>
        <x:v>2850</x:v>
      </x:c>
      <x:c r="L15" s="48" t="n">
        <x:f>G15+H15-K15</x:f>
        <x:v>34700</x:v>
      </x:c>
      <x:c r="M15" s="57" t="str">
        <x:f>IF(ABS(L15-(G15+H15-K15))&lt;0.01,"OK","REVIEW")</x:f>
        <x:v>OK</x:v>
      </x:c>
      <x:c r="N15" s="58" t="str">
        <x:v>Synthetic row</x:v>
      </x:c>
    </x:row>
    <x:row r="16">
      <x:c r="A16" s="56" t="str">
        <x:v>Period 12</x:v>
      </x:c>
      <x:c r="B16" s="48" t="n">
        <x:f>ASSUMPTIONS!$B$4</x:f>
        <x:v>28500</x:v>
      </x:c>
      <x:c r="C16" s="48" t="n">
        <x:f>IF(OR(A16="Period 04",A16="Period 10"),B16*ASSUMPTIONS!$B$5,0)</x:f>
        <x:v>0</x:v>
      </x:c>
      <x:c r="D16" s="48" t="n">
        <x:f>IF(A16="Period 08",B16*ASSUMPTIONS!$B$6,0)</x:f>
        <x:v>0</x:v>
      </x:c>
      <x:c r="E16" s="48" t="n">
        <x:f>MAX(B16*ASSUMPTIONS!$B$7,ASSUMPTIONS!$B$8)</x:f>
        <x:v>4275</x:v>
      </x:c>
      <x:c r="F16" s="48" t="n">
        <x:f>ASSUMPTIONS!$B$9</x:f>
        <x:v>500</x:v>
      </x:c>
      <x:c r="G16" s="48" t="n">
        <x:f>SUM(B16:F16)</x:f>
        <x:v>33275</x:v>
      </x:c>
      <x:c r="H16" s="48" t="n">
        <x:f>MAX(B16*ASSUMPTIONS!$B$10,ASSUMPTIONS!$B$11)</x:f>
        <x:v>4275</x:v>
      </x:c>
      <x:c r="I16" s="48" t="n">
        <x:f>B16*ASSUMPTIONS!$B$12</x:f>
        <x:v>1140</x:v>
      </x:c>
      <x:c r="J16" s="48" t="n">
        <x:f>B16*ASSUMPTIONS!$B$13</x:f>
        <x:v>1710</x:v>
      </x:c>
      <x:c r="K16" s="48" t="n">
        <x:f>SUM(I16:J16)</x:f>
        <x:v>2850</x:v>
      </x:c>
      <x:c r="L16" s="48" t="n">
        <x:f>G16+H16-K16</x:f>
        <x:v>34700</x:v>
      </x:c>
      <x:c r="M16" s="57" t="str">
        <x:f>IF(ABS(L16-(G16+H16-K16))&lt;0.01,"OK","REVIEW")</x:f>
        <x:v>OK</x:v>
      </x:c>
      <x:c r="N16" s="58" t="str">
        <x:v>Synthetic row</x:v>
      </x:c>
    </x:row>
    <x:row r="17">
      <x:c r="A17" s="59" t="str">
        <x:v>TOTAL</x:v>
      </x:c>
      <x:c r="B17" s="60" t="n">
        <x:f>SUM(B5:B16)</x:f>
        <x:v>342000</x:v>
      </x:c>
      <x:c r="C17" s="60" t="n">
        <x:f>SUM(C5:C16)</x:f>
        <x:v>28500</x:v>
      </x:c>
      <x:c r="D17" s="60" t="n">
        <x:f>SUM(D5:D16)</x:f>
        <x:v>5700</x:v>
      </x:c>
      <x:c r="E17" s="60" t="n">
        <x:f>SUM(E5:E16)</x:f>
        <x:v>51300</x:v>
      </x:c>
      <x:c r="F17" s="60" t="n">
        <x:f>SUM(F5:F16)</x:f>
        <x:v>6000</x:v>
      </x:c>
      <x:c r="G17" s="60" t="n">
        <x:f>SUM(G5:G16)</x:f>
        <x:v>433500</x:v>
      </x:c>
      <x:c r="H17" s="60" t="n">
        <x:f>SUM(H5:H16)</x:f>
        <x:v>51300</x:v>
      </x:c>
      <x:c r="I17" s="60" t="n">
        <x:f>SUM(I5:I16)</x:f>
        <x:v>13680</x:v>
      </x:c>
      <x:c r="J17" s="60" t="n">
        <x:f>SUM(J5:J16)</x:f>
        <x:v>20520</x:v>
      </x:c>
      <x:c r="K17" s="60" t="n">
        <x:f>SUM(K5:K16)</x:f>
        <x:v>34200</x:v>
      </x:c>
      <x:c r="L17" s="60" t="n">
        <x:f>SUM(L5:L16)</x:f>
        <x:v>450600</x:v>
      </x:c>
      <x:c r="M17" s="61" t="str">
        <x:f>IF(COUNTIF(M5:M16,"REVIEW")=0,"ALL OK","REVIEW")</x:f>
        <x:v>ALL OK</x:v>
      </x:c>
      <x:c r="N17" s="62" t="str">
        <x:v>Synthetic 12-period demonstration</x:v>
      </x:c>
    </x:row>
  </x:sheetData>
  <x:mergeCells>
    <x:mergeCell ref="A1:N1"/>
    <x:mergeCell ref="A2:N2"/>
  </x:mergeCells>
  <x:conditionalFormatting sqref="M5:M17">
    <x:cfRule type="expression" dxfId="1" priority="1">
      <x:formula>M5="OK"</x:formula>
    </x:cfRule>
    <x:cfRule type="expression" dxfId="2" priority="2">
      <x:formula>M5="REVIEW"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</x:cols>
  <x:sheetData>
    <x:row r="1">
      <x:c r="A1" s="4" t="str">
        <x:v>SYNTHETIC CALCULATION SUMMARY</x:v>
      </x:c>
      <x:c r="B1" s="4"/>
      <x:c r="C1" s="4"/>
      <x:c r="D1" s="4"/>
      <x:c r="E1" s="4"/>
      <x:c r="F1" s="4"/>
    </x:row>
    <x:row r="3">
      <x:c r="A3" s="11" t="str">
        <x:v>Metric</x:v>
      </x:c>
      <x:c r="B3" s="11" t="str">
        <x:v>Calculated Value</x:v>
      </x:c>
    </x:row>
    <x:row r="4">
      <x:c r="A4" t="str">
        <x:v>Total Basic Salary</x:v>
      </x:c>
      <x:c r="B4" s="48" t="n">
        <x:f>CALCULATIONS!B17</x:f>
        <x:v>342000</x:v>
      </x:c>
    </x:row>
    <x:row r="5">
      <x:c r="A5" t="str">
        <x:v>Total Festival Allowance</x:v>
      </x:c>
      <x:c r="B5" s="48" t="n">
        <x:f>CALCULATIONS!C17</x:f>
        <x:v>28500</x:v>
      </x:c>
    </x:row>
    <x:row r="6">
      <x:c r="A6" t="str">
        <x:v>Total Bangla New Year Allowance</x:v>
      </x:c>
      <x:c r="B6" s="48" t="n">
        <x:f>CALCULATIONS!D17</x:f>
        <x:v>5700</x:v>
      </x:c>
    </x:row>
    <x:row r="7">
      <x:c r="A7" t="str">
        <x:v>Total House Rent</x:v>
      </x:c>
      <x:c r="B7" s="48" t="n">
        <x:f>CALCULATIONS!E17</x:f>
        <x:v>51300</x:v>
      </x:c>
    </x:row>
    <x:row r="8">
      <x:c r="A8" t="str">
        <x:v>Total Medical Allowance</x:v>
      </x:c>
      <x:c r="B8" s="48" t="n">
        <x:f>CALCULATIONS!F17</x:f>
        <x:v>6000</x:v>
      </x:c>
    </x:row>
    <x:row r="9">
      <x:c r="A9" t="str">
        <x:v>Total Gross Grant</x:v>
      </x:c>
      <x:c r="B9" s="48" t="n">
        <x:f>CALCULATIONS!G17</x:f>
        <x:v>433500</x:v>
      </x:c>
    </x:row>
    <x:row r="10">
      <x:c r="A10" t="str">
        <x:v>Total Special Benefit</x:v>
      </x:c>
      <x:c r="B10" s="48" t="n">
        <x:f>CALCULATIONS!H17</x:f>
        <x:v>51300</x:v>
      </x:c>
    </x:row>
    <x:row r="11">
      <x:c r="A11" t="str">
        <x:v>Total Deductions</x:v>
      </x:c>
      <x:c r="B11" s="48" t="n">
        <x:f>CALCULATIONS!K17</x:f>
        <x:v>34200</x:v>
      </x:c>
    </x:row>
    <x:row r="12">
      <x:c r="A12" t="str">
        <x:v>Total Net Received</x:v>
      </x:c>
      <x:c r="B12" s="48" t="n">
        <x:f>CALCULATIONS!L17</x:f>
        <x:v>450600</x:v>
      </x:c>
    </x:row>
    <x:row r="13">
      <x:c r="A13" t="str">
        <x:v>Validation Status</x:v>
      </x:c>
      <x:c r="B13" t="str">
        <x:f>CALCULATIONS!M17</x:f>
        <x:v>ALL OK</x:v>
      </x:c>
    </x:row>
    <x:row r="15">
      <x:c r="A15" s="27" t="str">
        <x:v>Privacy statement: This workbook is fully synthetic and contains no identifying or time-specific source information.</x:v>
      </x:c>
      <x:c r="B15" s="27"/>
      <x:c r="C15" s="27"/>
      <x:c r="D15" s="27"/>
      <x:c r="E15" s="27"/>
      <x:c r="F15" s="27"/>
    </x:row>
    <x:row r="16">
      <x:c r="A16" s="27"/>
      <x:c r="B16" s="27"/>
      <x:c r="C16" s="27"/>
      <x:c r="D16" s="27"/>
      <x:c r="E16" s="27"/>
      <x:c r="F16" s="27"/>
    </x:row>
  </x:sheetData>
  <x:mergeCells>
    <x:mergeCell ref="A1:F1"/>
    <x:mergeCell ref="A15:F16"/>
  </x:mergeCells>
  <x:pageMargins left="0.7" right="0.7" top="0.75" bottom="0.75" header="0.3" footer="0.3"/>
</x:worksheet>
</file>